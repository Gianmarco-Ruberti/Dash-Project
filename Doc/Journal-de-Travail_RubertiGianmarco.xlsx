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Dash-Project\Doc\"/>
    </mc:Choice>
  </mc:AlternateContent>
  <xr:revisionPtr revIDLastSave="0" documentId="13_ncr:1_{F1BCB07D-6AAB-4B47-A907-19A4DA657194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<sst xmlns="http://schemas.openxmlformats.org/spreadsheetml/2006/main" count="84" uniqueCount="55">
  <si>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</si>
  <si>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</si>
  <si>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</si>
  <si>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</si>
  <si>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</si>
  <si>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</si>
  <si>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</si>
  <si>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</si>
  <si>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</si>
  <si>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</si>
  <si>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</si>
  <si>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</si>
  <si>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</si>
  <si>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</si>
  <si>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</si>
  <si>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</si>
  <si>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</si>
  <si>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</si>
  <si>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</si>
  <si>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</si>
  <si>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</si>
  <si>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</si>
  <si>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</si>
  <si>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</si>
  <si>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</si>
  <si>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</si>
  <si>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</si>
  <si>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</si>
  <si>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P_WebStatique 293</t>
  </si>
  <si>
    <t>24.02.2025 au 14.03.2025</t>
  </si>
  <si>
    <t>Ruberti Gianmarco</t>
  </si>
  <si>
    <t>création du sol, du fond et du player</t>
  </si>
  <si>
    <t>apprendre unity avec des vidéo</t>
  </si>
  <si>
    <t>création du scripte de mouvement pour le player</t>
  </si>
  <si>
    <t>problème sur avec la lecture du scripte de unity WIP</t>
  </si>
  <si>
    <t>création du scripte de kill pour les spikes</t>
  </si>
  <si>
    <t>mise d'image pour le player et le sol</t>
  </si>
  <si>
    <t>test des saut et des collision</t>
  </si>
  <si>
    <t>suivie du player par la Camera</t>
  </si>
  <si>
    <t>positionement du début</t>
  </si>
  <si>
    <t>Respawn du player quand il meurt</t>
  </si>
  <si>
    <t>WIP</t>
  </si>
  <si>
    <t>dust trail effect pour les mouvement du player</t>
  </si>
  <si>
    <t>rotation du player quand il saute</t>
  </si>
  <si>
    <t>fix les pariticule pour quelle soit toujours en bas du player</t>
  </si>
  <si>
    <t>modification de 2 sprite (Speed 2/3)</t>
  </si>
  <si>
    <t>ajoute des changements de vitesse</t>
  </si>
  <si>
    <t>ajout de l'invertion de gravité</t>
  </si>
  <si>
    <t>rotation du player quand il est en l'air</t>
  </si>
  <si>
    <t>tournais quand il étais au sol</t>
  </si>
  <si>
    <t>création du mode vertical</t>
  </si>
  <si>
    <t>création des portail de changement de mode</t>
  </si>
  <si>
    <t>reset des parametre quand il respawn</t>
  </si>
  <si>
    <t>pouvoir jump quand gravity up avec le nouveaux code</t>
  </si>
  <si>
    <t>ajout gravity up pour vertical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</si>
</sst>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15</c:v>
                </c:pt>
                <c:pt idx="1">
                  <c:v>475</c:v>
                </c:pt>
                <c:pt idx="2">
                  <c:v>15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2.9702970297029702E-2</c:v>
                </c:pt>
                <c:pt idx="1">
                  <c:v>0.94059405940594054</c:v>
                </c:pt>
                <c:pt idx="2">
                  <c:v>2.9702970297029702E-2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29" sqref="F2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30</v>
      </c>
      <c r="D2" s="80"/>
      <c r="E2" s="80"/>
      <c r="F2" s="5" t="s">
        <v>1</v>
      </c>
      <c r="G2" s="75" t="s">
        <v>28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8 heures 25 minutes</v>
      </c>
      <c r="D3" s="19"/>
      <c r="E3" s="3"/>
      <c r="F3" s="4" t="s">
        <v>6</v>
      </c>
      <c r="G3" s="76" t="s">
        <v>29</v>
      </c>
    </row>
    <row r="4" spans="1:15" ht="23.25" hidden="1" x14ac:dyDescent="0.35">
      <c r="B4" s="5"/>
      <c r="C4" s="19">
        <f>SUBTOTAL(9,$C$7:$C$531)*60</f>
        <v>120</v>
      </c>
      <c r="D4" s="19">
        <f>SUBTOTAL(9,$D$7:$D$531)</f>
        <v>385</v>
      </c>
      <c r="E4" s="29">
        <f>SUM(C4:D4)</f>
        <v>505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</v>
      </c>
      <c r="B7" s="32">
        <v>46045</v>
      </c>
      <c r="C7" s="33"/>
      <c r="D7" s="34">
        <v>40</v>
      </c>
      <c r="E7" s="35" t="s">
        <v>19</v>
      </c>
      <c r="F7" s="28" t="s">
        <v>31</v>
      </c>
      <c r="G7" s="44"/>
    </row>
    <row r="8" spans="1:15" x14ac:dyDescent="0.25">
      <c r="A8" s="73">
        <f>IF(ISBLANK(B8),"",_xlfn.ISOWEEKNUM('Journal de travail'!$B8))</f>
        <v>4</v>
      </c>
      <c r="B8" s="36">
        <v>46045</v>
      </c>
      <c r="C8" s="37"/>
      <c r="D8" s="38">
        <v>15</v>
      </c>
      <c r="E8" s="39" t="s">
        <v>2</v>
      </c>
      <c r="F8" s="28" t="s">
        <v>32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</v>
      </c>
      <c r="B9" s="40">
        <v>46045</v>
      </c>
      <c r="C9" s="41"/>
      <c r="D9" s="42">
        <v>35</v>
      </c>
      <c r="E9" s="43" t="s">
        <v>19</v>
      </c>
      <c r="F9" s="28" t="s">
        <v>33</v>
      </c>
      <c r="G9" s="46" t="s">
        <v>34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</v>
      </c>
      <c r="B10" s="36">
        <v>46045</v>
      </c>
      <c r="C10" s="37"/>
      <c r="D10" s="38">
        <v>10</v>
      </c>
      <c r="E10" s="39" t="s">
        <v>19</v>
      </c>
      <c r="F10" s="28" t="s">
        <v>33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</v>
      </c>
      <c r="B11" s="40">
        <v>46045</v>
      </c>
      <c r="C11" s="41"/>
      <c r="D11" s="42">
        <v>20</v>
      </c>
      <c r="E11" s="43" t="s">
        <v>19</v>
      </c>
      <c r="F11" s="28" t="s">
        <v>35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</v>
      </c>
      <c r="B12" s="36">
        <v>46045</v>
      </c>
      <c r="C12" s="37"/>
      <c r="D12" s="38">
        <v>15</v>
      </c>
      <c r="E12" s="39" t="s">
        <v>19</v>
      </c>
      <c r="F12" s="28" t="s">
        <v>36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4</v>
      </c>
      <c r="B13" s="40">
        <v>46045</v>
      </c>
      <c r="C13" s="41"/>
      <c r="D13" s="42">
        <v>15</v>
      </c>
      <c r="E13" s="43" t="s">
        <v>3</v>
      </c>
      <c r="F13" s="28" t="s">
        <v>37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4</v>
      </c>
      <c r="B14" s="36">
        <v>46045</v>
      </c>
      <c r="C14" s="37"/>
      <c r="D14" s="38">
        <v>15</v>
      </c>
      <c r="E14" s="39" t="s">
        <v>19</v>
      </c>
      <c r="F14" s="28" t="s">
        <v>38</v>
      </c>
      <c r="G14" s="45"/>
      <c r="N14">
        <v>7</v>
      </c>
      <c r="O14">
        <v>30</v>
      </c>
    </row>
    <row r="15" spans="1:15" x14ac:dyDescent="0.25">
      <c r="A15" s="74">
        <f>IF(ISBLANK(B15),"",_xlfn.ISOWEEKNUM('Journal de travail'!$B15))</f>
        <v>4</v>
      </c>
      <c r="B15" s="40">
        <v>46045</v>
      </c>
      <c r="C15" s="41"/>
      <c r="D15" s="42">
        <v>5</v>
      </c>
      <c r="E15" s="43" t="s">
        <v>19</v>
      </c>
      <c r="F15" s="28" t="s">
        <v>39</v>
      </c>
      <c r="G15" s="46"/>
      <c r="N15">
        <v>8</v>
      </c>
      <c r="O15">
        <v>35</v>
      </c>
    </row>
    <row r="16" spans="1:15" x14ac:dyDescent="0.25">
      <c r="A16" s="73">
        <f>IF(ISBLANK(B16),"",_xlfn.ISOWEEKNUM('Journal de travail'!$B16))</f>
        <v>4</v>
      </c>
      <c r="B16" s="36">
        <v>46045</v>
      </c>
      <c r="C16" s="37"/>
      <c r="D16" s="38">
        <v>10</v>
      </c>
      <c r="E16" s="39" t="s">
        <v>19</v>
      </c>
      <c r="F16" s="28" t="s">
        <v>40</v>
      </c>
      <c r="G16" s="45" t="s">
        <v>41</v>
      </c>
      <c r="O16">
        <v>40</v>
      </c>
    </row>
    <row r="17" spans="1:15" x14ac:dyDescent="0.25">
      <c r="A17" s="74">
        <f>IF(ISBLANK(B17),"",_xlfn.ISOWEEKNUM('Journal de travail'!$B17))</f>
        <v>5</v>
      </c>
      <c r="B17" s="40">
        <v>46052</v>
      </c>
      <c r="C17" s="41"/>
      <c r="D17" s="42">
        <v>35</v>
      </c>
      <c r="E17" s="43" t="s">
        <v>19</v>
      </c>
      <c r="F17" s="28" t="s">
        <v>40</v>
      </c>
      <c r="G17" s="46"/>
      <c r="O17">
        <v>45</v>
      </c>
    </row>
    <row r="18" spans="1:15" x14ac:dyDescent="0.25">
      <c r="A18" s="73">
        <f>IF(ISBLANK(B18),"",_xlfn.ISOWEEKNUM('Journal de travail'!$B18))</f>
        <v>5</v>
      </c>
      <c r="B18" s="36">
        <v>46052</v>
      </c>
      <c r="C18" s="37"/>
      <c r="D18" s="38">
        <v>30</v>
      </c>
      <c r="E18" s="39" t="s">
        <v>19</v>
      </c>
      <c r="F18" s="28" t="s">
        <v>42</v>
      </c>
      <c r="G18" s="45"/>
      <c r="O18">
        <v>50</v>
      </c>
    </row>
    <row r="19" spans="1:15" x14ac:dyDescent="0.25">
      <c r="A19" s="74">
        <f>IF(ISBLANK(B19),"",_xlfn.ISOWEEKNUM('Journal de travail'!$B19))</f>
        <v>5</v>
      </c>
      <c r="B19" s="40">
        <v>46052</v>
      </c>
      <c r="C19" s="41"/>
      <c r="D19" s="42">
        <v>15</v>
      </c>
      <c r="E19" s="43" t="s">
        <v>19</v>
      </c>
      <c r="F19" s="28" t="s">
        <v>43</v>
      </c>
      <c r="G19" s="46"/>
      <c r="O19">
        <v>55</v>
      </c>
    </row>
    <row r="20" spans="1:15" x14ac:dyDescent="0.25">
      <c r="A20" s="73">
        <f>IF(ISBLANK(B20),"",_xlfn.ISOWEEKNUM('Journal de travail'!$B20))</f>
        <v>5</v>
      </c>
      <c r="B20" s="36">
        <v>46052</v>
      </c>
      <c r="C20" s="37"/>
      <c r="D20" s="38">
        <v>5</v>
      </c>
      <c r="E20" s="39" t="s">
        <v>19</v>
      </c>
      <c r="F20" s="28" t="s">
        <v>44</v>
      </c>
      <c r="G20" s="45"/>
    </row>
    <row r="21" spans="1:15" x14ac:dyDescent="0.25">
      <c r="A21" s="74">
        <f>IF(ISBLANK(B21),"",_xlfn.ISOWEEKNUM('Journal de travail'!$B21))</f>
        <v>5</v>
      </c>
      <c r="B21" s="40">
        <v>46052</v>
      </c>
      <c r="C21" s="41">
        <v>1</v>
      </c>
      <c r="D21" s="42"/>
      <c r="E21" s="43" t="s">
        <v>19</v>
      </c>
      <c r="F21" s="28" t="s">
        <v>45</v>
      </c>
      <c r="G21" s="46"/>
    </row>
    <row r="22" spans="1:15" x14ac:dyDescent="0.25">
      <c r="A22" s="73">
        <f>IF(ISBLANK(B22),"",_xlfn.ISOWEEKNUM('Journal de travail'!$B22))</f>
        <v>6</v>
      </c>
      <c r="B22" s="36">
        <v>46059</v>
      </c>
      <c r="C22" s="37"/>
      <c r="D22" s="38">
        <v>15</v>
      </c>
      <c r="E22" s="39" t="s">
        <v>19</v>
      </c>
      <c r="F22" s="28" t="s">
        <v>46</v>
      </c>
      <c r="G22" s="45"/>
    </row>
    <row r="23" spans="1:15" x14ac:dyDescent="0.25">
      <c r="A23" s="74">
        <f>IF(ISBLANK(B23),"",_xlfn.ISOWEEKNUM('Journal de travail'!$B23))</f>
        <v>6</v>
      </c>
      <c r="B23" s="40">
        <v>46059</v>
      </c>
      <c r="C23" s="41"/>
      <c r="D23" s="42">
        <v>10</v>
      </c>
      <c r="E23" s="43" t="s">
        <v>19</v>
      </c>
      <c r="F23" s="28" t="s">
        <v>47</v>
      </c>
      <c r="G23" s="46"/>
    </row>
    <row r="24" spans="1:15" x14ac:dyDescent="0.25">
      <c r="A24" s="73">
        <f>IF(ISBLANK(B24),"",_xlfn.ISOWEEKNUM('Journal de travail'!$B24))</f>
        <v>6</v>
      </c>
      <c r="B24" s="36">
        <v>46059</v>
      </c>
      <c r="C24" s="37">
        <v>1</v>
      </c>
      <c r="D24" s="38"/>
      <c r="E24" s="39" t="s">
        <v>19</v>
      </c>
      <c r="F24" s="28" t="s">
        <v>48</v>
      </c>
      <c r="G24" s="45" t="s">
        <v>49</v>
      </c>
    </row>
    <row r="25" spans="1:15" x14ac:dyDescent="0.25">
      <c r="A25" s="74">
        <f>IF(ISBLANK(B25),"",_xlfn.ISOWEEKNUM('Journal de travail'!$B25))</f>
        <v>6</v>
      </c>
      <c r="B25" s="40">
        <v>46059</v>
      </c>
      <c r="C25" s="41"/>
      <c r="D25" s="42">
        <v>30</v>
      </c>
      <c r="E25" s="43" t="s">
        <v>19</v>
      </c>
      <c r="F25" s="28" t="s">
        <v>50</v>
      </c>
      <c r="G25" s="46"/>
    </row>
    <row r="26" spans="1:15" x14ac:dyDescent="0.25">
      <c r="A26" s="73">
        <f>IF(ISBLANK(B26),"",_xlfn.ISOWEEKNUM('Journal de travail'!$B26))</f>
        <v>6</v>
      </c>
      <c r="B26" s="36">
        <v>46059</v>
      </c>
      <c r="C26" s="37"/>
      <c r="D26" s="38">
        <v>20</v>
      </c>
      <c r="E26" s="39" t="s">
        <v>19</v>
      </c>
      <c r="F26" s="28" t="s">
        <v>51</v>
      </c>
      <c r="G26" s="45"/>
    </row>
    <row r="27" spans="1:15" x14ac:dyDescent="0.25">
      <c r="A27" s="74">
        <f>IF(ISBLANK(B27),"",_xlfn.ISOWEEKNUM('Journal de travail'!$B27))</f>
        <v>6</v>
      </c>
      <c r="B27" s="40">
        <v>46059</v>
      </c>
      <c r="C27" s="41"/>
      <c r="D27" s="42">
        <v>5</v>
      </c>
      <c r="E27" s="43" t="s">
        <v>19</v>
      </c>
      <c r="F27" s="28" t="s">
        <v>52</v>
      </c>
      <c r="G27" s="46"/>
    </row>
    <row r="28" spans="1:15" x14ac:dyDescent="0.25">
      <c r="A28" s="73">
        <f>IF(ISBLANK(B28),"",_xlfn.ISOWEEKNUM('Journal de travail'!$B28))</f>
        <v>6</v>
      </c>
      <c r="B28" s="36">
        <v>46059</v>
      </c>
      <c r="C28" s="37"/>
      <c r="D28" s="38">
        <v>30</v>
      </c>
      <c r="E28" s="39" t="s">
        <v>19</v>
      </c>
      <c r="F28" s="27" t="s">
        <v>53</v>
      </c>
      <c r="G28" s="45"/>
    </row>
    <row r="29" spans="1:15" x14ac:dyDescent="0.25">
      <c r="A29" s="74">
        <f>IF(ISBLANK(B29),"",_xlfn.ISOWEEKNUM('Journal de travail'!$B29))</f>
        <v>6</v>
      </c>
      <c r="B29" s="40">
        <v>46059</v>
      </c>
      <c r="C29" s="41"/>
      <c r="D29" s="42">
        <v>10</v>
      </c>
      <c r="E29" s="43" t="s">
        <v>19</v>
      </c>
      <c r="F29" s="27" t="s">
        <v>54</v>
      </c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15</v>
      </c>
      <c r="C6">
        <f t="shared" ref="C6:C9" si="0">SUM(A6:B6)</f>
        <v>15</v>
      </c>
      <c r="E6" s="21" t="str">
        <f>'Journal de travail'!M8</f>
        <v>Analyse</v>
      </c>
      <c r="F6" s="50" t="str">
        <f>QUOTIENT(SUM(A6:B6),60)&amp;" h "&amp;TEXT(MOD(SUM(A6:B6),60), "00")&amp;" min"</f>
        <v>0 h 15 min</v>
      </c>
      <c r="G6" s="47">
        <f>SUM(A6:B6)/$C$10</f>
        <v>2.9702970297029702E-2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355</v>
      </c>
      <c r="C7">
        <f t="shared" si="0"/>
        <v>475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7 h 55 min</v>
      </c>
      <c r="G7" s="56">
        <f t="shared" ref="G7:G9" si="2">SUM(A7:B7)/$C$10</f>
        <v>0.94059405940594054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15</v>
      </c>
      <c r="C8">
        <f t="shared" si="0"/>
        <v>15</v>
      </c>
      <c r="E8" s="22" t="str">
        <f>'Journal de travail'!M10</f>
        <v>Test</v>
      </c>
      <c r="F8" s="50" t="str">
        <f t="shared" si="1"/>
        <v>0 h 15 min</v>
      </c>
      <c r="G8" s="47">
        <f t="shared" si="2"/>
        <v>2.9702970297029702E-2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120</v>
      </c>
      <c r="B10">
        <f>SUM(B6:B9)</f>
        <v>385</v>
      </c>
      <c r="C10">
        <f>SUM(A10:B10)</f>
        <v>505</v>
      </c>
      <c r="E10" s="20" t="s">
        <v>18</v>
      </c>
      <c r="F10" s="50" t="str">
        <f t="shared" si="1"/>
        <v>8 h 25 min</v>
      </c>
      <c r="G10" s="57">
        <f>C10/C11</f>
        <v>9.5643939393939392E-2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2026-02-06T10:23:52Z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